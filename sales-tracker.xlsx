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<sst xmlns="http://schemas.openxmlformats.org/spreadsheetml/2006/main" count="15" uniqueCount="15">
  <si>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</si>
  <si>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Platform(FB/IG/TT/Email)</t>
  </si>
  <si>
    <t>Lead Name</t>
  </si>
  <si>
    <t>Stage(Start/Nudge/Close)</t>
  </si>
  <si>
    <t>VoiceNote(Y/N)</t>
  </si>
  <si>
    <t>FollowUps Sent</t>
  </si>
  <si>
    <t>Closed?(Y/N)</t>
  </si>
  <si>
    <t>Revenue($)</t>
  </si>
  <si>
    <t>Daily Totals</t>
  </si>
  <si>
    <t>Total Conversations</t>
  </si>
  <si>
    <t>Total Follow-Ups Sent</t>
  </si>
  <si>
    <t>Total Closes</t>
  </si>
  <si>
    <t>Total Revenue ($)</t>
  </si>
  <si>
    <t>Close Rate</t>
  </si>
  <si>
    <t>Tip: Mark Closed? as Y for wins and enter revenue per sale (e.g., 699).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</si>
</sst>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8</v>
      </c>
    </row>
    <row r="3" spans="1:2">
      <c r="A3" t="s">
        <v>9</v>
      </c>
      <c r="B3">
        <f>COUNTA(Log!C:C)</f>
        <v>0</v>
      </c>
    </row>
    <row r="4" spans="1:2">
      <c r="A4" t="s">
        <v>10</v>
      </c>
      <c r="B4">
        <f>SUM(Log!F:F)</f>
        <v>0</v>
      </c>
    </row>
    <row r="5" spans="1:2">
      <c r="A5" t="s">
        <v>11</v>
      </c>
      <c r="B5">
        <f>COUNTIF(Log!G:G,"Y")</f>
        <v>0</v>
      </c>
    </row>
    <row r="6" spans="1:2">
      <c r="A6" t="s">
        <v>12</v>
      </c>
      <c r="B6">
        <f>SUM(Log!H:H)</f>
        <v>0</v>
      </c>
    </row>
    <row r="8" spans="1:2">
      <c r="A8" t="s">
        <v>13</v>
      </c>
      <c r="B8">
        <f>IFERROR(B5/B3,0)</f>
        <v>0</v>
      </c>
    </row>
    <row r="10" spans="1:2">
      <c r="A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2025-11-11T13:56:48Z</dcterms:created>
  <dcterms:modified xsi:type="dcterms:W3CDTF">2025-11-11T13:56:48Z</dcterms:modified>
</cp:coreProperties>
</file>